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nsvorc\docs-plan\"/>
    </mc:Choice>
  </mc:AlternateContent>
  <xr:revisionPtr revIDLastSave="0" documentId="13_ncr:1_{9A93C707-0469-4D79-A93D-25A45478F506}" xr6:coauthVersionLast="47" xr6:coauthVersionMax="47" xr10:uidLastSave="{00000000-0000-0000-0000-000000000000}"/>
  <bookViews>
    <workbookView xWindow="-120" yWindow="-120" windowWidth="20730" windowHeight="11040" xr2:uid="{3D89A0D7-96E8-44AB-944B-F0093463D4CE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1" l="1"/>
  <c r="J4" i="1"/>
  <c r="I23" i="1"/>
  <c r="H23" i="1"/>
  <c r="F23" i="1"/>
  <c r="E23" i="1"/>
  <c r="I22" i="1"/>
  <c r="H22" i="1"/>
  <c r="F22" i="1"/>
  <c r="E22" i="1"/>
  <c r="D21" i="1"/>
  <c r="I19" i="1"/>
  <c r="H19" i="1"/>
  <c r="F19" i="1"/>
  <c r="E19" i="1"/>
  <c r="I18" i="1"/>
  <c r="H18" i="1"/>
  <c r="F18" i="1"/>
  <c r="E18" i="1"/>
  <c r="I17" i="1"/>
  <c r="H17" i="1"/>
  <c r="F17" i="1"/>
  <c r="E17" i="1"/>
  <c r="D16" i="1"/>
  <c r="I14" i="1"/>
  <c r="H14" i="1"/>
  <c r="F14" i="1"/>
  <c r="E14" i="1"/>
  <c r="I13" i="1"/>
  <c r="H13" i="1"/>
  <c r="F13" i="1"/>
  <c r="E13" i="1"/>
  <c r="I12" i="1"/>
  <c r="H12" i="1"/>
  <c r="F12" i="1"/>
  <c r="E12" i="1"/>
  <c r="I11" i="1"/>
  <c r="H11" i="1"/>
  <c r="F11" i="1"/>
  <c r="E11" i="1"/>
  <c r="D10" i="1"/>
  <c r="I8" i="1"/>
  <c r="H8" i="1"/>
  <c r="F8" i="1"/>
  <c r="E8" i="1"/>
  <c r="I7" i="1"/>
  <c r="H7" i="1"/>
  <c r="F7" i="1"/>
  <c r="E7" i="1"/>
  <c r="I6" i="1"/>
  <c r="H6" i="1"/>
  <c r="F6" i="1"/>
  <c r="E6" i="1"/>
  <c r="I5" i="1"/>
  <c r="H5" i="1"/>
  <c r="F5" i="1"/>
  <c r="E5" i="1"/>
  <c r="D4" i="1"/>
  <c r="H21" i="1" l="1"/>
  <c r="E21" i="1"/>
  <c r="E16" i="1"/>
  <c r="E10" i="1"/>
  <c r="E4" i="1"/>
  <c r="I16" i="1"/>
  <c r="H10" i="1"/>
  <c r="F10" i="1"/>
  <c r="F16" i="1"/>
  <c r="J18" i="1"/>
  <c r="J23" i="1"/>
  <c r="H16" i="1"/>
  <c r="J11" i="1"/>
  <c r="J6" i="1"/>
  <c r="J5" i="1"/>
  <c r="I4" i="1"/>
  <c r="H4" i="1"/>
  <c r="F4" i="1"/>
  <c r="F21" i="1"/>
  <c r="J19" i="1"/>
  <c r="J17" i="1"/>
  <c r="J14" i="1"/>
  <c r="J7" i="1"/>
  <c r="I10" i="1"/>
  <c r="J22" i="1"/>
  <c r="J8" i="1"/>
  <c r="I21" i="1"/>
  <c r="J13" i="1"/>
  <c r="J12" i="1"/>
  <c r="J16" i="1" l="1"/>
  <c r="J21" i="1"/>
</calcChain>
</file>

<file path=xl/sharedStrings.xml><?xml version="1.0" encoding="utf-8"?>
<sst xmlns="http://schemas.openxmlformats.org/spreadsheetml/2006/main" count="32" uniqueCount="22">
  <si>
    <t>AUXILIAR GERAL</t>
  </si>
  <si>
    <t>ENCARREGADO DE OBRAS</t>
  </si>
  <si>
    <t xml:space="preserve">OPERADOR DE MAQ. DE PINTURA </t>
  </si>
  <si>
    <t>OPERADOR DE BATE ESTACA</t>
  </si>
  <si>
    <t>EPS</t>
  </si>
  <si>
    <t>HORIZONTAL</t>
  </si>
  <si>
    <t>VERTICAL</t>
  </si>
  <si>
    <t>MOTORISTA</t>
  </si>
  <si>
    <t>APOIO</t>
  </si>
  <si>
    <t>SEGUIMENTO</t>
  </si>
  <si>
    <t>Sondagem</t>
  </si>
  <si>
    <t>Topografia</t>
  </si>
  <si>
    <t>Operacional</t>
  </si>
  <si>
    <t>Und</t>
  </si>
  <si>
    <t>QTD</t>
  </si>
  <si>
    <t>CUSTO-DIA</t>
  </si>
  <si>
    <t xml:space="preserve">BD-RH </t>
  </si>
  <si>
    <t>BD-EPI</t>
  </si>
  <si>
    <t>REFEIÇÃO - (BD-ESTRUTURA OPERACIONAL)</t>
  </si>
  <si>
    <t>HOSPEDAGEM - (BD-ESTRUTURA OPERACIONAL)</t>
  </si>
  <si>
    <t>EPC - (BD-ESTRUTURA OPERACIONAL)</t>
  </si>
  <si>
    <t>CUSTO MÃO DE OBRA - (BD-RH)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</si>
</sst>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2" tint="-0.89999084444715716"/>
      <name val="Aptos Mono"/>
      <family val="3"/>
    </font>
    <font>
      <b/>
      <sz val="8"/>
      <color indexed="8"/>
      <name val="Aptos Mono"/>
      <family val="3"/>
    </font>
    <font>
      <b/>
      <sz val="8"/>
      <color theme="2"/>
      <name val="Aptos Mono"/>
      <family val="3"/>
    </font>
    <font>
      <b/>
      <sz val="8"/>
      <name val="Aptos Mono"/>
      <family val="3"/>
    </font>
    <font>
      <sz val="8"/>
      <color indexed="8"/>
      <name val="Aptos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/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64" fontId="6" fillId="0" borderId="4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3D04A2-4C73-4306-B161-B9369430A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lanilha%20-%20Or&#231;amento%202026/Planilha-Versoes/C&#243;pia%20de%20PLANILHA%20DE%20OR&#199;AMENTO%20-%202026%20-%20v.4-sheets.xlsx" TargetMode="External"/><Relationship Id="rId2" Type="http://schemas.openxmlformats.org/officeDocument/2006/relationships/externalLinkPath" Target="file:///G:\Meu%20Drive\Planilha%20-%20Or&#231;amento%202026\Planilha-Versoes\C&#243;pia%20de%20PLANILHA%20DE%20OR&#199;AMENTO%20-%202026%20-%20v.4-sheets.xlsx" TargetMode="External"/><Relationship Id="rId1" Type="http://schemas.openxmlformats.org/officeDocument/2006/relationships/externalLinkPath" Target="/Meu%20Drive/Planilha%20-%20Or&#231;amento%202026/Planilha-Versoes/C&#243;pia%20de%20PLANILHA%20DE%20OR&#199;AMENTO%20-%202026%20-%20v.4-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I"/>
      <sheetName val="1.1"/>
      <sheetName val="bd_bdi"/>
      <sheetName val="listas"/>
      <sheetName val="ft-serviços"/>
      <sheetName val="ft-equipe"/>
      <sheetName val="ft_horizontal"/>
      <sheetName val="ft_vertical-componentes"/>
      <sheetName val="ft-equipe_fabrica"/>
      <sheetName val="ft_vertical"/>
      <sheetName val="ft_estrutura_op"/>
      <sheetName val="ft_vertical-impdig"/>
      <sheetName val="bd_materiais"/>
      <sheetName val="bd_frotas"/>
      <sheetName val="bd_rh"/>
      <sheetName val="bd_ferramental"/>
      <sheetName val="bd_epi"/>
      <sheetName val="est_despe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B3" t="str">
            <v>Cargo</v>
          </cell>
          <cell r="D3" t="str">
            <v xml:space="preserve">Custo Diário </v>
          </cell>
        </row>
        <row r="4">
          <cell r="B4" t="str">
            <v>AUXILIAR GERAL</v>
          </cell>
          <cell r="D4">
            <v>226.41786876711038</v>
          </cell>
        </row>
        <row r="5">
          <cell r="B5" t="str">
            <v>ENCARREGADO DE OBRAS</v>
          </cell>
          <cell r="D5">
            <v>613.83383929461036</v>
          </cell>
        </row>
        <row r="6">
          <cell r="B6" t="str">
            <v>MOTORISTA</v>
          </cell>
          <cell r="D6">
            <v>319.57031390390125</v>
          </cell>
        </row>
        <row r="7">
          <cell r="B7" t="str">
            <v>OPERADOR DE BATE ESTACA</v>
          </cell>
          <cell r="D7">
            <v>306.57600446471037</v>
          </cell>
        </row>
        <row r="8">
          <cell r="B8" t="str">
            <v xml:space="preserve">OPERADOR DE MAQ. DE PINTURA </v>
          </cell>
          <cell r="D8">
            <v>305.60525358834673</v>
          </cell>
        </row>
      </sheetData>
      <sheetData sheetId="15"/>
      <sheetData sheetId="16">
        <row r="3">
          <cell r="B3" t="str">
            <v>AUXILIAR GERAL</v>
          </cell>
          <cell r="C3">
            <v>5.6199999999999983</v>
          </cell>
        </row>
        <row r="4">
          <cell r="B4" t="str">
            <v>ENCARREGADO DE OBRAS</v>
          </cell>
          <cell r="C4">
            <v>5.7899999999999991</v>
          </cell>
        </row>
        <row r="5">
          <cell r="B5" t="str">
            <v xml:space="preserve">OPERADOR DE MAQ. DE PINTURA </v>
          </cell>
          <cell r="C5">
            <v>3.8599999999999994</v>
          </cell>
        </row>
        <row r="6">
          <cell r="B6" t="str">
            <v>OPERADOR DE BATE ESTACA</v>
          </cell>
          <cell r="C6">
            <v>3.8599999999999994</v>
          </cell>
        </row>
      </sheetData>
      <sheetData sheetId="17">
        <row r="5">
          <cell r="B5" t="str">
            <v>EPS</v>
          </cell>
          <cell r="E5">
            <v>130</v>
          </cell>
          <cell r="F5">
            <v>60</v>
          </cell>
        </row>
        <row r="6">
          <cell r="B6" t="str">
            <v>VERTICAL</v>
          </cell>
          <cell r="E6">
            <v>130</v>
          </cell>
          <cell r="F6">
            <v>60</v>
          </cell>
        </row>
        <row r="7">
          <cell r="B7" t="str">
            <v>HORIZONTAL</v>
          </cell>
          <cell r="E7">
            <v>130</v>
          </cell>
          <cell r="F7">
            <v>60</v>
          </cell>
        </row>
        <row r="8">
          <cell r="B8" t="str">
            <v>APOIO</v>
          </cell>
          <cell r="E8">
            <v>130</v>
          </cell>
          <cell r="F8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577-DCD5-4579-8751-4F178AF872EE}">
  <dimension ref="B2:AA23"/>
  <sheetViews>
    <sheetView showGridLines="0" tabSelected="1" workbookViewId="0">
      <selection activeCell="E17" sqref="E17"/>
    </sheetView>
  </sheetViews>
  <sheetFormatPr defaultRowHeight="11.25" x14ac:dyDescent="0.2"/>
  <cols>
    <col min="1" max="1" width="4.28515625" style="1" customWidth="1"/>
    <col min="2" max="2" width="12.85546875" style="1" customWidth="1"/>
    <col min="3" max="3" width="29.7109375" style="1" bestFit="1" customWidth="1"/>
    <col min="4" max="4" width="4" style="1" bestFit="1" customWidth="1"/>
    <col min="5" max="5" width="28.5703125" style="1" bestFit="1" customWidth="1"/>
    <col min="6" max="6" width="9" style="1" bestFit="1" customWidth="1"/>
    <col min="7" max="7" width="33.85546875" style="1" bestFit="1" customWidth="1"/>
    <col min="8" max="8" width="39" style="1" bestFit="1" customWidth="1"/>
    <col min="9" max="9" width="41" style="1" bestFit="1" customWidth="1"/>
    <col min="10" max="10" width="12" style="1" bestFit="1" customWidth="1"/>
    <col min="11" max="11" width="14.140625" style="1" customWidth="1"/>
    <col min="12" max="12" width="9.140625" style="1"/>
    <col min="13" max="13" width="26.7109375" style="1" bestFit="1" customWidth="1"/>
    <col min="14" max="14" width="9" style="1" bestFit="1" customWidth="1"/>
    <col min="15" max="15" width="9.140625" style="1"/>
    <col min="16" max="16" width="9.7109375" style="1" bestFit="1" customWidth="1"/>
    <col min="17" max="17" width="9" style="1" bestFit="1" customWidth="1"/>
    <col min="18" max="18" width="9.140625" style="1"/>
    <col min="19" max="19" width="51.85546875" style="1" bestFit="1" customWidth="1"/>
    <col min="20" max="20" width="7.140625" style="1" bestFit="1" customWidth="1"/>
    <col min="21" max="21" width="9.28515625" style="1" bestFit="1" customWidth="1"/>
    <col min="22" max="22" width="7.42578125" style="1" bestFit="1" customWidth="1"/>
    <col min="23" max="23" width="9.140625" style="1"/>
    <col min="24" max="24" width="8.140625" style="1" bestFit="1" customWidth="1"/>
    <col min="25" max="25" width="3.7109375" style="1" bestFit="1" customWidth="1"/>
    <col min="26" max="26" width="9.28515625" style="1" bestFit="1" customWidth="1"/>
    <col min="27" max="27" width="1.85546875" style="1" bestFit="1" customWidth="1"/>
    <col min="28" max="16384" width="9.140625" style="1"/>
  </cols>
  <sheetData>
    <row r="2" spans="2:27" x14ac:dyDescent="0.2">
      <c r="X2" s="2" t="s">
        <v>10</v>
      </c>
      <c r="Y2" s="3" t="s">
        <v>13</v>
      </c>
      <c r="Z2" s="5" t="s">
        <v>12</v>
      </c>
      <c r="AA2" s="4">
        <v>0</v>
      </c>
    </row>
    <row r="3" spans="2:27" ht="12" thickBot="1" x14ac:dyDescent="0.25">
      <c r="B3" s="24" t="s">
        <v>9</v>
      </c>
      <c r="C3" s="25" t="s">
        <v>16</v>
      </c>
      <c r="D3" s="24" t="s">
        <v>14</v>
      </c>
      <c r="E3" s="24" t="s">
        <v>21</v>
      </c>
      <c r="F3" s="24" t="s">
        <v>17</v>
      </c>
      <c r="G3" s="24" t="s">
        <v>20</v>
      </c>
      <c r="H3" s="24" t="s">
        <v>18</v>
      </c>
      <c r="I3" s="24" t="s">
        <v>19</v>
      </c>
      <c r="J3" s="24" t="s">
        <v>15</v>
      </c>
      <c r="X3" s="2" t="s">
        <v>11</v>
      </c>
      <c r="Y3" s="3" t="s">
        <v>13</v>
      </c>
      <c r="Z3" s="5" t="s">
        <v>12</v>
      </c>
      <c r="AA3" s="4">
        <v>0</v>
      </c>
    </row>
    <row r="4" spans="2:27" x14ac:dyDescent="0.2">
      <c r="B4" s="9" t="s">
        <v>4</v>
      </c>
      <c r="C4" s="10"/>
      <c r="D4" s="11">
        <f>SUM(D5:D8)</f>
        <v>6</v>
      </c>
      <c r="E4" s="12">
        <f>(D5*E5)+(D6*E6)+(D7*E7)+(D8*E8)</f>
        <v>1919.233763964553</v>
      </c>
      <c r="F4" s="12">
        <f>(D5*F5)+(D6*F7)+(D7*F6)+(D8*F8)</f>
        <v>26.509999999999994</v>
      </c>
      <c r="G4" s="12">
        <v>203</v>
      </c>
      <c r="H4" s="12">
        <f>(D5*H5)+(D6*H6)+(D7*H7)+(D8*H8)</f>
        <v>360</v>
      </c>
      <c r="I4" s="12">
        <f>(D5*I5)+(D6*I7)+(D7*I6)+(D8*I8)</f>
        <v>780</v>
      </c>
      <c r="J4" s="12">
        <f>SUM(E4:I4)</f>
        <v>3288.7437639645532</v>
      </c>
    </row>
    <row r="5" spans="2:27" x14ac:dyDescent="0.2">
      <c r="B5" s="13"/>
      <c r="C5" s="14" t="s">
        <v>1</v>
      </c>
      <c r="D5" s="15">
        <v>1</v>
      </c>
      <c r="E5" s="16">
        <f>_xlfn.XLOOKUP(C5,[1]bd_rh!$B$3:$B$8,[1]bd_rh!$D$3:$D$8,0,0,1)</f>
        <v>613.83383929461036</v>
      </c>
      <c r="F5" s="16">
        <f>_xlfn.XLOOKUP(C5,[1]bd_epi!$B$3:$B$6,[1]bd_epi!$C$3:$C$6,0,0,1)</f>
        <v>5.7899999999999991</v>
      </c>
      <c r="G5" s="16">
        <v>0</v>
      </c>
      <c r="H5" s="16">
        <f>_xlfn.XLOOKUP($B$4,[1]est_despesas!$B$5:$B$8,[1]est_despesas!$F$5:$F$8,0,0,1)</f>
        <v>60</v>
      </c>
      <c r="I5" s="16">
        <f>_xlfn.XLOOKUP($B$4,[1]est_despesas!$B$5:$B$8,[1]est_despesas!$E$5:$E$8,0,0,1)</f>
        <v>130</v>
      </c>
      <c r="J5" s="16">
        <f>SUM(E5:I5)</f>
        <v>809.62383929461032</v>
      </c>
    </row>
    <row r="6" spans="2:27" x14ac:dyDescent="0.2">
      <c r="B6" s="13"/>
      <c r="C6" s="14" t="s">
        <v>3</v>
      </c>
      <c r="D6" s="15">
        <v>1</v>
      </c>
      <c r="E6" s="16">
        <f>_xlfn.XLOOKUP(C6,[1]bd_rh!$B$3:$B$8,[1]bd_rh!$D$3:$D$8,0,0,1)</f>
        <v>306.57600446471037</v>
      </c>
      <c r="F6" s="16">
        <f>_xlfn.XLOOKUP(C6,[1]bd_epi!$B$3:$B$6,[1]bd_epi!$C$3:$C$6,0,0,1)</f>
        <v>3.8599999999999994</v>
      </c>
      <c r="G6" s="16">
        <v>0</v>
      </c>
      <c r="H6" s="16">
        <f>_xlfn.XLOOKUP($B$4,[1]est_despesas!$B$5:$B$8,[1]est_despesas!$F$5:$F$8,0,0,1)</f>
        <v>60</v>
      </c>
      <c r="I6" s="16">
        <f>_xlfn.XLOOKUP($B$4,[1]est_despesas!$B$5:$B$8,[1]est_despesas!$E$5:$E$8,0,0,1)</f>
        <v>130</v>
      </c>
      <c r="J6" s="16">
        <f>SUM(E6:I6)</f>
        <v>500.43600446471038</v>
      </c>
    </row>
    <row r="7" spans="2:27" x14ac:dyDescent="0.2">
      <c r="B7" s="13"/>
      <c r="C7" s="14" t="s">
        <v>7</v>
      </c>
      <c r="D7" s="15">
        <v>1</v>
      </c>
      <c r="E7" s="16">
        <f>_xlfn.XLOOKUP(C7,[1]bd_rh!$B$3:$B$8,[1]bd_rh!$D$3:$D$8,0,0,1)</f>
        <v>319.57031390390125</v>
      </c>
      <c r="F7" s="16">
        <f>_xlfn.XLOOKUP(C7,[1]bd_epi!$B$3:$B$6,[1]bd_epi!$C$3:$C$6,0,0,1)</f>
        <v>0</v>
      </c>
      <c r="G7" s="16">
        <v>0</v>
      </c>
      <c r="H7" s="16">
        <f>_xlfn.XLOOKUP($B$4,[1]est_despesas!$B$5:$B$8,[1]est_despesas!$F$5:$F$8,0,0,1)</f>
        <v>60</v>
      </c>
      <c r="I7" s="16">
        <f>_xlfn.XLOOKUP($B$4,[1]est_despesas!$B$5:$B$8,[1]est_despesas!$E$5:$E$8,0,0,1)</f>
        <v>130</v>
      </c>
      <c r="J7" s="16">
        <f>SUM(E7:I7)</f>
        <v>509.57031390390125</v>
      </c>
    </row>
    <row r="8" spans="2:27" x14ac:dyDescent="0.2">
      <c r="B8" s="17"/>
      <c r="C8" s="18" t="s">
        <v>0</v>
      </c>
      <c r="D8" s="19">
        <v>3</v>
      </c>
      <c r="E8" s="20">
        <f>_xlfn.XLOOKUP(C8,[1]bd_rh!$B$3:$B$8,[1]bd_rh!$D$3:$D$8,0,0,1)</f>
        <v>226.41786876711038</v>
      </c>
      <c r="F8" s="20">
        <f>_xlfn.XLOOKUP(C8,[1]bd_epi!$B$3:$B$6,[1]bd_epi!$C$3:$C$6,0,0,1)</f>
        <v>5.6199999999999983</v>
      </c>
      <c r="G8" s="16">
        <v>0</v>
      </c>
      <c r="H8" s="20">
        <f>_xlfn.XLOOKUP($B$4,[1]est_despesas!$B$5:$B$8,[1]est_despesas!$F$5:$F$8,0,0,1)</f>
        <v>60</v>
      </c>
      <c r="I8" s="20">
        <f>_xlfn.XLOOKUP($B$4,[1]est_despesas!$B$5:$B$8,[1]est_despesas!$E$5:$E$8,0,0,1)</f>
        <v>130</v>
      </c>
      <c r="J8" s="20">
        <f>SUM(E8:I8)</f>
        <v>422.03786876711035</v>
      </c>
    </row>
    <row r="9" spans="2:27" ht="12" thickBot="1" x14ac:dyDescent="0.25">
      <c r="B9" s="6"/>
      <c r="C9" s="7"/>
      <c r="D9" s="7"/>
      <c r="E9" s="7"/>
      <c r="F9" s="8"/>
      <c r="G9" s="7"/>
      <c r="H9" s="7"/>
      <c r="I9" s="7"/>
      <c r="J9" s="7"/>
    </row>
    <row r="10" spans="2:27" x14ac:dyDescent="0.2">
      <c r="B10" s="9" t="s">
        <v>5</v>
      </c>
      <c r="C10" s="10"/>
      <c r="D10" s="11">
        <f>SUM(D11:D14)</f>
        <v>5</v>
      </c>
      <c r="E10" s="12">
        <f>($D$11*E11)+($D$12*E12)+($D$13*E13)+($D$14*E14)</f>
        <v>1691.845144321079</v>
      </c>
      <c r="F10" s="12">
        <f>($D$11*F11)+($D$12*F12)+($D$13*F13)+($D$14*F14)</f>
        <v>20.889999999999993</v>
      </c>
      <c r="G10" s="12">
        <v>203</v>
      </c>
      <c r="H10" s="12">
        <f t="shared" ref="H10:I10" si="0">($D$11*H11)+($D$12*H12)+($D$13*H13)+($D$14*H14)</f>
        <v>300</v>
      </c>
      <c r="I10" s="12">
        <f t="shared" si="0"/>
        <v>650</v>
      </c>
      <c r="J10" s="12">
        <f>SUM(E10:I10)</f>
        <v>2865.7351443210791</v>
      </c>
    </row>
    <row r="11" spans="2:27" x14ac:dyDescent="0.2">
      <c r="B11" s="13"/>
      <c r="C11" s="14" t="s">
        <v>1</v>
      </c>
      <c r="D11" s="15">
        <v>1</v>
      </c>
      <c r="E11" s="16">
        <f>_xlfn.XLOOKUP(C11,[1]bd_rh!$B$3:$B$8,[1]bd_rh!$D$3:$D$8,0,0,1)</f>
        <v>613.83383929461036</v>
      </c>
      <c r="F11" s="16">
        <f>_xlfn.XLOOKUP(C11,[1]bd_epi!$B$3:$B$6,[1]bd_epi!$C$3:$C$6,0,0,1)</f>
        <v>5.7899999999999991</v>
      </c>
      <c r="G11" s="16">
        <v>0</v>
      </c>
      <c r="H11" s="16">
        <f>_xlfn.XLOOKUP($B$4,[1]est_despesas!$B$5:$B$8,[1]est_despesas!$F$5:$F$8,0,0,1)</f>
        <v>60</v>
      </c>
      <c r="I11" s="16">
        <f>_xlfn.XLOOKUP($B$4,[1]est_despesas!$B$5:$B$8,[1]est_despesas!$E$5:$E$8,0,0,1)</f>
        <v>130</v>
      </c>
      <c r="J11" s="16">
        <f>SUM(E11:I11)</f>
        <v>809.62383929461032</v>
      </c>
    </row>
    <row r="12" spans="2:27" x14ac:dyDescent="0.2">
      <c r="B12" s="13"/>
      <c r="C12" s="14" t="s">
        <v>2</v>
      </c>
      <c r="D12" s="15">
        <v>1</v>
      </c>
      <c r="E12" s="16">
        <f>_xlfn.XLOOKUP(C12,[1]bd_rh!$B$3:$B$8,[1]bd_rh!$D$3:$D$8,0,0,1)</f>
        <v>305.60525358834673</v>
      </c>
      <c r="F12" s="16">
        <f>_xlfn.XLOOKUP(C12,[1]bd_epi!$B$3:$B$6,[1]bd_epi!$C$3:$C$6,0,0,1)</f>
        <v>3.8599999999999994</v>
      </c>
      <c r="G12" s="16">
        <v>0</v>
      </c>
      <c r="H12" s="16">
        <f>_xlfn.XLOOKUP($B$4,[1]est_despesas!$B$5:$B$8,[1]est_despesas!$F$5:$F$8,0,0,1)</f>
        <v>60</v>
      </c>
      <c r="I12" s="16">
        <f>_xlfn.XLOOKUP($B$4,[1]est_despesas!$B$5:$B$8,[1]est_despesas!$E$5:$E$8,0,0,1)</f>
        <v>130</v>
      </c>
      <c r="J12" s="16">
        <f>SUM(E12:I12)</f>
        <v>499.46525358834674</v>
      </c>
    </row>
    <row r="13" spans="2:27" x14ac:dyDescent="0.2">
      <c r="B13" s="13"/>
      <c r="C13" s="14" t="s">
        <v>7</v>
      </c>
      <c r="D13" s="15">
        <v>1</v>
      </c>
      <c r="E13" s="16">
        <f>_xlfn.XLOOKUP(C13,[1]bd_rh!$B$3:$B$8,[1]bd_rh!$D$3:$D$8,0,0,1)</f>
        <v>319.57031390390125</v>
      </c>
      <c r="F13" s="16">
        <f>_xlfn.XLOOKUP(C13,[1]bd_epi!$B$3:$B$6,[1]bd_epi!$C$3:$C$6,0,0,1)</f>
        <v>0</v>
      </c>
      <c r="G13" s="16">
        <v>0</v>
      </c>
      <c r="H13" s="16">
        <f>_xlfn.XLOOKUP($B$4,[1]est_despesas!$B$5:$B$8,[1]est_despesas!$F$5:$F$8,0,0,1)</f>
        <v>60</v>
      </c>
      <c r="I13" s="16">
        <f>_xlfn.XLOOKUP($B$4,[1]est_despesas!$B$5:$B$8,[1]est_despesas!$E$5:$E$8,0,0,1)</f>
        <v>130</v>
      </c>
      <c r="J13" s="16">
        <f>SUM(E13:I13)</f>
        <v>509.57031390390125</v>
      </c>
    </row>
    <row r="14" spans="2:27" x14ac:dyDescent="0.2">
      <c r="B14" s="17"/>
      <c r="C14" s="18" t="s">
        <v>0</v>
      </c>
      <c r="D14" s="19">
        <v>2</v>
      </c>
      <c r="E14" s="20">
        <f>_xlfn.XLOOKUP(C14,[1]bd_rh!$B$3:$B$8,[1]bd_rh!$D$3:$D$8,0,0,1)</f>
        <v>226.41786876711038</v>
      </c>
      <c r="F14" s="20">
        <f>_xlfn.XLOOKUP(C14,[1]bd_epi!$B$3:$B$6,[1]bd_epi!$C$3:$C$6,0,0,1)</f>
        <v>5.6199999999999983</v>
      </c>
      <c r="G14" s="20">
        <v>0</v>
      </c>
      <c r="H14" s="20">
        <f>_xlfn.XLOOKUP($B$4,[1]est_despesas!$B$5:$B$8,[1]est_despesas!$F$5:$F$8,0,0,1)</f>
        <v>60</v>
      </c>
      <c r="I14" s="20">
        <f>_xlfn.XLOOKUP($B$4,[1]est_despesas!$B$5:$B$8,[1]est_despesas!$E$5:$E$8,0,0,1)</f>
        <v>130</v>
      </c>
      <c r="J14" s="20">
        <f>SUM(E14:I14)</f>
        <v>422.03786876711035</v>
      </c>
    </row>
    <row r="15" spans="2:27" ht="12" thickBot="1" x14ac:dyDescent="0.25">
      <c r="B15" s="6"/>
      <c r="C15" s="7"/>
      <c r="D15" s="7"/>
      <c r="E15" s="7"/>
      <c r="F15" s="8"/>
      <c r="G15" s="7"/>
      <c r="H15" s="7"/>
      <c r="I15" s="7"/>
      <c r="J15" s="7"/>
    </row>
    <row r="16" spans="2:27" x14ac:dyDescent="0.2">
      <c r="B16" s="9" t="s">
        <v>6</v>
      </c>
      <c r="C16" s="10"/>
      <c r="D16" s="11">
        <f>SUM(D17:D19)</f>
        <v>4</v>
      </c>
      <c r="E16" s="12">
        <f>($D$17*E17)+($D$18*E18)+($D$19*E19)</f>
        <v>1386.2398907327324</v>
      </c>
      <c r="F16" s="12">
        <f t="shared" ref="F16:I16" si="1">($D$17*F17)+($D$18*F18)+($D$19*F19)</f>
        <v>17.029999999999994</v>
      </c>
      <c r="G16" s="12">
        <v>203</v>
      </c>
      <c r="H16" s="12">
        <f t="shared" si="1"/>
        <v>240</v>
      </c>
      <c r="I16" s="12">
        <f t="shared" si="1"/>
        <v>520</v>
      </c>
      <c r="J16" s="12">
        <f>SUM(E16:I16)</f>
        <v>2366.2698907327322</v>
      </c>
    </row>
    <row r="17" spans="2:10" x14ac:dyDescent="0.2">
      <c r="B17" s="13"/>
      <c r="C17" s="14" t="s">
        <v>1</v>
      </c>
      <c r="D17" s="15">
        <v>1</v>
      </c>
      <c r="E17" s="16">
        <f>_xlfn.XLOOKUP(C17,[1]bd_rh!$B$3:$B$8,[1]bd_rh!$D$3:$D$8,0,0,1)</f>
        <v>613.83383929461036</v>
      </c>
      <c r="F17" s="16">
        <f>_xlfn.XLOOKUP(C17,[1]bd_epi!$B$3:$B$6,[1]bd_epi!$C$3:$C$6,0,0,1)</f>
        <v>5.7899999999999991</v>
      </c>
      <c r="G17" s="16">
        <v>0</v>
      </c>
      <c r="H17" s="16">
        <f>_xlfn.XLOOKUP($B$4,[1]est_despesas!$B$5:$B$8,[1]est_despesas!$F$5:$F$8,0,0,1)</f>
        <v>60</v>
      </c>
      <c r="I17" s="16">
        <f>_xlfn.XLOOKUP($B$4,[1]est_despesas!$B$5:$B$8,[1]est_despesas!$E$5:$E$8,0,0,1)</f>
        <v>130</v>
      </c>
      <c r="J17" s="16">
        <f>SUM(E17:I17)</f>
        <v>809.62383929461032</v>
      </c>
    </row>
    <row r="18" spans="2:10" x14ac:dyDescent="0.2">
      <c r="B18" s="13"/>
      <c r="C18" s="14" t="s">
        <v>7</v>
      </c>
      <c r="D18" s="15">
        <v>1</v>
      </c>
      <c r="E18" s="16">
        <f>_xlfn.XLOOKUP(C18,[1]bd_rh!$B$3:$B$8,[1]bd_rh!$D$3:$D$8,0,0,1)</f>
        <v>319.57031390390125</v>
      </c>
      <c r="F18" s="16">
        <f>_xlfn.XLOOKUP(C18,[1]bd_epi!$B$3:$B$6,[1]bd_epi!$C$3:$C$6,0,0,1)</f>
        <v>0</v>
      </c>
      <c r="G18" s="16">
        <v>0</v>
      </c>
      <c r="H18" s="16">
        <f>_xlfn.XLOOKUP($B$4,[1]est_despesas!$B$5:$B$8,[1]est_despesas!$F$5:$F$8,0,0,1)</f>
        <v>60</v>
      </c>
      <c r="I18" s="16">
        <f>_xlfn.XLOOKUP($B$4,[1]est_despesas!$B$5:$B$8,[1]est_despesas!$E$5:$E$8,0,0,1)</f>
        <v>130</v>
      </c>
      <c r="J18" s="16">
        <f>SUM(E18:I18)</f>
        <v>509.57031390390125</v>
      </c>
    </row>
    <row r="19" spans="2:10" x14ac:dyDescent="0.2">
      <c r="B19" s="17"/>
      <c r="C19" s="18" t="s">
        <v>0</v>
      </c>
      <c r="D19" s="19">
        <v>2</v>
      </c>
      <c r="E19" s="20">
        <f>_xlfn.XLOOKUP(C19,[1]bd_rh!$B$3:$B$8,[1]bd_rh!$D$3:$D$8,0,0,1)</f>
        <v>226.41786876711038</v>
      </c>
      <c r="F19" s="20">
        <f>_xlfn.XLOOKUP(C19,[1]bd_epi!$B$3:$B$6,[1]bd_epi!$C$3:$C$6,0,0,1)</f>
        <v>5.6199999999999983</v>
      </c>
      <c r="G19" s="20">
        <v>0</v>
      </c>
      <c r="H19" s="20">
        <f>_xlfn.XLOOKUP($B$4,[1]est_despesas!$B$5:$B$8,[1]est_despesas!$F$5:$F$8,0,0,1)</f>
        <v>60</v>
      </c>
      <c r="I19" s="20">
        <f>_xlfn.XLOOKUP($B$4,[1]est_despesas!$B$5:$B$8,[1]est_despesas!$E$5:$E$8,0,0,1)</f>
        <v>130</v>
      </c>
      <c r="J19" s="20">
        <f>SUM(E19:I19)</f>
        <v>422.03786876711035</v>
      </c>
    </row>
    <row r="20" spans="2:10" ht="12" thickBot="1" x14ac:dyDescent="0.25">
      <c r="B20" s="6"/>
      <c r="C20" s="7"/>
      <c r="D20" s="7"/>
      <c r="E20" s="7"/>
      <c r="F20" s="8"/>
      <c r="G20" s="7"/>
      <c r="H20" s="7"/>
      <c r="I20" s="7"/>
      <c r="J20" s="7"/>
    </row>
    <row r="21" spans="2:10" x14ac:dyDescent="0.2">
      <c r="B21" s="9" t="s">
        <v>8</v>
      </c>
      <c r="C21" s="10"/>
      <c r="D21" s="11">
        <f>SUM(D22:D23)</f>
        <v>2</v>
      </c>
      <c r="E21" s="12">
        <f>($D$22*E22)+($D$23*E23)</f>
        <v>545.9881826710116</v>
      </c>
      <c r="F21" s="12">
        <f t="shared" ref="F21:I21" si="2">($D$22*F22)+($D$23*F23)</f>
        <v>5.6199999999999983</v>
      </c>
      <c r="G21" s="12">
        <v>203</v>
      </c>
      <c r="H21" s="12">
        <f t="shared" si="2"/>
        <v>120</v>
      </c>
      <c r="I21" s="12">
        <f t="shared" si="2"/>
        <v>260</v>
      </c>
      <c r="J21" s="12">
        <f>SUM(E21:I21)</f>
        <v>1134.6081826710115</v>
      </c>
    </row>
    <row r="22" spans="2:10" x14ac:dyDescent="0.2">
      <c r="B22" s="13"/>
      <c r="C22" s="14" t="s">
        <v>7</v>
      </c>
      <c r="D22" s="15">
        <v>1</v>
      </c>
      <c r="E22" s="16">
        <f>_xlfn.XLOOKUP(C22,[1]bd_rh!$B$3:$B$8,[1]bd_rh!$D$3:$D$8,0,0,1)</f>
        <v>319.57031390390125</v>
      </c>
      <c r="F22" s="16">
        <f>_xlfn.XLOOKUP(C22,[1]bd_epi!$B$3:$B$6,[1]bd_epi!$C$3:$C$6,0,0,1)</f>
        <v>0</v>
      </c>
      <c r="G22" s="16">
        <v>0</v>
      </c>
      <c r="H22" s="16">
        <f>_xlfn.XLOOKUP($B$4,[1]est_despesas!$B$5:$B$8,[1]est_despesas!$F$5:$F$8,0,0,1)</f>
        <v>60</v>
      </c>
      <c r="I22" s="16">
        <f>_xlfn.XLOOKUP($B$4,[1]est_despesas!$B$5:$B$8,[1]est_despesas!$E$5:$E$8,0,0,1)</f>
        <v>130</v>
      </c>
      <c r="J22" s="16">
        <f t="shared" ref="J22:J23" si="3">SUM(E22:I22)</f>
        <v>509.57031390390125</v>
      </c>
    </row>
    <row r="23" spans="2:10" x14ac:dyDescent="0.2">
      <c r="B23" s="17"/>
      <c r="C23" s="21" t="s">
        <v>0</v>
      </c>
      <c r="D23" s="22">
        <v>1</v>
      </c>
      <c r="E23" s="23">
        <f>_xlfn.XLOOKUP(C23,[1]bd_rh!$B$3:$B$8,[1]bd_rh!$D$3:$D$8,0,0,1)</f>
        <v>226.41786876711038</v>
      </c>
      <c r="F23" s="23">
        <f>_xlfn.XLOOKUP(C23,[1]bd_epi!$B$3:$B$6,[1]bd_epi!$C$3:$C$6,0,0,1)</f>
        <v>5.6199999999999983</v>
      </c>
      <c r="G23" s="23">
        <v>0</v>
      </c>
      <c r="H23" s="23">
        <f>_xlfn.XLOOKUP($B$4,[1]est_despesas!$B$5:$B$8,[1]est_despesas!$F$5:$F$8,0,0,1)</f>
        <v>60</v>
      </c>
      <c r="I23" s="23">
        <f>_xlfn.XLOOKUP($B$4,[1]est_despesas!$B$5:$B$8,[1]est_despesas!$E$5:$E$8,0,0,1)</f>
        <v>130</v>
      </c>
      <c r="J23" s="23">
        <f t="shared" si="3"/>
        <v>422.03786876711035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Fernandes</dc:creator>
  <cp:lastModifiedBy>Claudio Fernandes</cp:lastModifiedBy>
  <dcterms:created xsi:type="dcterms:W3CDTF">2026-06-08T17:30:05Z</dcterms:created>
  <dcterms:modified xsi:type="dcterms:W3CDTF">2026-06-08T21:00:01Z</dcterms:modified>
</cp:coreProperties>
</file>